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tc={48f63c56-a4ff-4f0b-8691-31b7b3728839}</author>
    <author>tc={59876f77-2e7a-43c8-8463-9db61f459a25}</author>
    <author>tc={71dc6e89-628c-4f2a-830f-ebea32ccf11b}</author>
    <author>tc={76eb22b6-b33e-4cfe-a1c1-4a6008038f67}</author>
  </authors>
  <commentList>
    <comment authorId="0" xr:uid="{48f63c56-a4ff-4f0b-8691-31b7b3728839}" ref="G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Switched v38 from per-part TPU print-service (KEC Makerspace charges NPR 4/g per print, was NPR 90 for the ~22g enclosure estimate) to buying a 1kg roll outright at the same NPR 4/g rate = NPR 4,000. Team now owns the filament; only ~22g needed for one enclosure per the v38 geometric estimate (tracker Action #36), so most of the roll is spare/future-use, not consumed by this one part. Roll vendor not yet sourced to a live listing — confirm before ordering.
</t>
      </text>
    </comment>
    <comment authorId="1" xr:uid="{59876f77-2e7a-43c8-8463-9db61f459a25}" ref="G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Legacy-proposal baseline pricing, not re-quoted against a live vendor (tracker §2.6). "SLT Pvt.Ltd" isn't corroborated anywhere in tracker sourcing history — confirm before ordering.
</t>
      </text>
    </comment>
    <comment authorId="2" xr:uid="{71dc6e89-628c-4f2a-830f-ebea32ccf11b}" ref="G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Price is legacy-proposal baseline, not vendor-requoted (tracker §2.6). Action #32 unresolved: confirm whether the Giga Nepal 1100mAh cell (sourced v34) is already a protected pack — if so, drop this line.
</t>
      </text>
    </comment>
    <comment authorId="3" xr:uid="{76eb22b6-b33e-4cfe-a1c1-4a6008038f67}" ref="G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Legacy-proposal baseline pricing, not re-quoted against a live vendor (tracker §2.6). "SLT Pvt.Ltd" isn't corroborated anywhere in tracker sourcing history — confirm before ordering.
</t>
      </text>
    </comment>
  </commentList>
</comments>
</file>

<file path=xl/sharedStrings.xml><?xml version="1.0" encoding="utf-8"?>
<sst xmlns="http://schemas.openxmlformats.org/spreadsheetml/2006/main" count="59" uniqueCount="49">
  <si>
    <t>Project name: SPARK — Wearable Fall Detection System</t>
  </si>
  <si>
    <t>Components List</t>
  </si>
  <si>
    <t>TO ORDER</t>
  </si>
  <si>
    <t>S.N.</t>
  </si>
  <si>
    <t>Components with main features</t>
  </si>
  <si>
    <t>Quantity</t>
  </si>
  <si>
    <t>ISSUED (NRs.)</t>
  </si>
  <si>
    <t>Unit Cost (NRs.)</t>
  </si>
  <si>
    <t>Total Cost</t>
  </si>
  <si>
    <t>Availability</t>
  </si>
  <si>
    <t>Total Cost (NRs.)</t>
  </si>
  <si>
    <t>ESP32-S3 N16R8 development board, 44-pin, 16 MB flash, 8 MB PSRAM, including 50 cm USB-C cable</t>
  </si>
  <si>
    <t>Daraz — Buy More Save More Store</t>
  </si>
  <si>
    <t>Members:</t>
  </si>
  <si>
    <t>Contacts</t>
  </si>
  <si>
    <t>MPU6050 six-axis IMU module</t>
  </si>
  <si>
    <t>Himalayan Solutions</t>
  </si>
  <si>
    <t>Aaradhya Dev Tamrakar</t>
  </si>
  <si>
    <t>Single-cell 3.7 V, 1100 mAh LiPo battery; dimensions and connector to be confirmed</t>
  </si>
  <si>
    <t>Giga Nepal</t>
  </si>
  <si>
    <t>Rupesh Kadel</t>
  </si>
  <si>
    <t>TP4056 Type-C charging module with battery protection</t>
  </si>
  <si>
    <t>Sankalpa Lamsal</t>
  </si>
  <si>
    <t>Velcro wrist strap</t>
  </si>
  <si>
    <t>RR-papers</t>
  </si>
  <si>
    <t>Sonia Thapa</t>
  </si>
  <si>
    <t>Compression arm sleeve, thumb-hole base layer</t>
  </si>
  <si>
    <t>Daraz — BLUE BELL Let's Slim</t>
  </si>
  <si>
    <t>Dipen Manandhar (Supervisor)</t>
  </si>
  <si>
    <t>TPU 95A filament, 1 kg roll, for enclosure fabrication</t>
  </si>
  <si>
    <t>KEC Makerspace / vendor TBD</t>
  </si>
  <si>
    <t>DC–DC 5 V boost converter, 3.7 V LiPo input, ≥800 mA output: Mini Fixed-5.0 V Sync Step-Up (FP6291/CKCS BS01, 11×10.5 mm) [1st choice] or MT3608 2 A [fallback]</t>
  </si>
  <si>
    <t>Breadboard (MB-102 830-pt) + jumper wire kit (must include M-M, M-F, and F-F DuPont ribbons for 44-pin ESP32-S3)</t>
  </si>
  <si>
    <t>Resistor/capacitor assortment (incl. 4.7 kΩ I2C pull-ups, 100 nF/10 µF decoupling caps, 5 mm LEDs, and tactile buttons)</t>
  </si>
  <si>
    <t>M2.5 machine screws (6 mm, 8 mm, 12 mm lengths) with matching M2.5 hex nuts</t>
  </si>
  <si>
    <t>Daraz Nepal</t>
  </si>
  <si>
    <t>Micro slide switch, SPDT, power cutoff; suitable current rating to be confirmed</t>
  </si>
  <si>
    <t>30 AWG flexible silicone ribbon wire for signal harnesses; length/conductor count to cover two nodes</t>
  </si>
  <si>
    <t>Himalayan Solutions / Daraz</t>
  </si>
  <si>
    <t>Assembly &amp; Day-1 lot: 6× 2-pin JST pigtails, 2.54 mm male/female pin headers, 2 m 24 AWG wire, heat-shrink, Kapton/foam tape, 0.8 mm solder/flux, 2× perfboards, 1× nylon waist belt w/ buckle</t>
  </si>
  <si>
    <t>Delivery charges (3× Daraz Kathmandu Metro orders + local supplier courier)</t>
  </si>
  <si>
    <t>Applicable suppliers</t>
  </si>
  <si>
    <t>Priced subtotal</t>
  </si>
  <si>
    <t>Grand total</t>
  </si>
  <si>
    <t>Notes for submission:</t>
  </si>
  <si>
    <t>- Row 1 includes three 50 cm USB-C data+power cables, so the separate cable purchase is removed.</t>
  </si>
  <si>
    <t>- Qty 3 across ESP32-S3, MPU6050, TP4056, 5V boost converter, and SPDT switch ensures 2 active nodes (1 Wrist + 1 Waist reference) + 1 complete spare chain.</t>
  </si>
  <si>
    <t>- Row 9 (M-F/F-F jumpers) + Row 14 (2.54 mm female headers, solder/flux, foam/Kapton tape, waist belt) eliminate Day-1 bring-up &amp; assembly blockers.</t>
  </si>
  <si>
    <t>- All 15 BOM lines are fully costed: Grand Total NPR 17,677 (or NPR 14,037 with per-gram KEC Makerspace TPU printing).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</si>
</sst>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0&quot; roll&quot;"/>
    <numFmt numFmtId="165" formatCode="0&quot; kits&quot;"/>
    <numFmt numFmtId="166" formatCode="0&quot; kit&quot;"/>
    <numFmt numFmtId="167" formatCode="0&quot; sets&quot;"/>
    <numFmt numFmtId="168" formatCode="0&quot; lot&quot;"/>
    <numFmt numFmtId="169" formatCode="0&quot; lot for 2 nodes&quot;"/>
  </numFmts>
  <fonts count="11">
    <font>
      <sz val="11.0"/>
      <color theme="1"/>
      <name val="Calibri"/>
      <scheme val="minor"/>
    </font>
    <font>
      <b/>
      <sz val="14.0"/>
      <color rgb="FF000000"/>
      <name val="Arial"/>
    </font>
    <font/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1.0"/>
      <color rgb="FF000000"/>
      <name val="Arial"/>
    </font>
    <font>
      <b/>
      <sz val="10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11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5" numFmtId="0" xfId="0" applyAlignment="1" applyBorder="1" applyFont="1">
      <alignment horizontal="left" shrinkToFit="0" vertical="center" wrapText="1"/>
    </xf>
    <xf borderId="8" fillId="0" fontId="6" numFmtId="0" xfId="0" applyAlignment="1" applyBorder="1" applyFont="1">
      <alignment horizontal="left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0" fontId="7" numFmtId="0" xfId="0" applyAlignment="1" applyBorder="1" applyFont="1">
      <alignment horizontal="left" shrinkToFit="0" vertical="center" wrapText="1"/>
    </xf>
    <xf borderId="8" fillId="0" fontId="8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left" shrinkToFit="0" vertical="center" wrapText="1"/>
    </xf>
    <xf borderId="7" fillId="0" fontId="3" numFmtId="0" xfId="0" applyAlignment="1" applyBorder="1" applyFont="1">
      <alignment horizontal="left" shrinkToFit="0" vertical="center" wrapText="1"/>
    </xf>
    <xf borderId="7" fillId="0" fontId="9" numFmtId="0" xfId="0" applyAlignment="1" applyBorder="1" applyFont="1">
      <alignment horizontal="left" shrinkToFit="0" vertical="center" wrapText="1"/>
    </xf>
    <xf borderId="7" fillId="0" fontId="9" numFmtId="3" xfId="0" applyAlignment="1" applyBorder="1" applyFont="1" applyNumberFormat="1">
      <alignment horizontal="left" shrinkToFit="0" vertical="center" wrapText="1"/>
    </xf>
    <xf borderId="10" fillId="0" fontId="8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9" numFmtId="0" xfId="0" applyAlignment="1" applyFont="1">
      <alignment horizontal="center" shrinkToFit="0" vertical="center" wrapText="1"/>
    </xf>
    <xf borderId="7" fillId="0" fontId="8" numFmtId="0" xfId="0" applyAlignment="1" applyBorder="1" applyFont="1">
      <alignment horizontal="left" readingOrder="0" shrinkToFit="0" vertical="center" wrapText="1"/>
    </xf>
    <xf borderId="7" fillId="0" fontId="7" numFmtId="0" xfId="0" applyAlignment="1" applyBorder="1" applyFont="1">
      <alignment horizontal="left" readingOrder="0" shrinkToFit="0" vertical="center" wrapText="1"/>
    </xf>
    <xf borderId="7" fillId="0" fontId="9" numFmtId="164" xfId="0" applyAlignment="1" applyBorder="1" applyFont="1" applyNumberFormat="1">
      <alignment horizontal="left" shrinkToFit="0" vertical="center" wrapText="1"/>
    </xf>
    <xf borderId="0" fillId="0" fontId="9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7" fillId="0" fontId="9" numFmtId="165" xfId="0" applyAlignment="1" applyBorder="1" applyFont="1" applyNumberFormat="1">
      <alignment horizontal="left" shrinkToFit="0" vertical="center" wrapText="1"/>
    </xf>
    <xf borderId="7" fillId="0" fontId="9" numFmtId="166" xfId="0" applyAlignment="1" applyBorder="1" applyFont="1" applyNumberFormat="1">
      <alignment horizontal="left" shrinkToFit="0" vertical="center" wrapText="1"/>
    </xf>
    <xf borderId="7" fillId="0" fontId="9" numFmtId="167" xfId="0" applyAlignment="1" applyBorder="1" applyFont="1" applyNumberFormat="1">
      <alignment horizontal="left" shrinkToFit="0" vertical="center" wrapText="1"/>
    </xf>
    <xf borderId="0" fillId="0" fontId="5" numFmtId="0" xfId="0" applyAlignment="1" applyFont="1">
      <alignment horizontal="center" shrinkToFit="0" vertical="center" wrapText="1"/>
    </xf>
    <xf borderId="7" fillId="0" fontId="9" numFmtId="168" xfId="0" applyAlignment="1" applyBorder="1" applyFont="1" applyNumberFormat="1">
      <alignment horizontal="left" shrinkToFit="0" vertical="center" wrapText="1"/>
    </xf>
    <xf borderId="7" fillId="0" fontId="9" numFmtId="169" xfId="0" applyAlignment="1" applyBorder="1" applyFont="1" applyNumberForma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7" fillId="2" fontId="7" numFmtId="0" xfId="0" applyAlignment="1" applyBorder="1" applyFill="1" applyFont="1">
      <alignment horizontal="left" shrinkToFit="0" vertical="center" wrapText="1"/>
    </xf>
    <xf borderId="8" fillId="0" fontId="7" numFmtId="0" xfId="0" applyAlignment="1" applyBorder="1" applyFont="1">
      <alignment horizontal="left" shrinkToFit="0" vertical="center" wrapText="1"/>
    </xf>
    <xf borderId="7" fillId="0" fontId="7" numFmtId="3" xfId="0" applyAlignment="1" applyBorder="1" applyFont="1" applyNumberForma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10" numFmtId="0" xfId="0" applyFont="1"/>
    <xf borderId="0" fillId="0" fontId="7" numFmtId="0" xfId="0" applyAlignment="1" applyFont="1">
      <alignment shrinkToFit="0" wrapText="1"/>
    </xf>
    <xf borderId="0" fillId="0" fontId="3" numFmtId="0" xfId="0" applyFont="1"/>
    <xf borderId="0" fillId="0" fontId="3" numFmtId="0" xfId="0" applyAlignment="1" applyFont="1">
      <alignment shrinkToFit="0" wrapText="1"/>
    </xf>
    <xf borderId="0" fillId="0" fontId="4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Unknown Author" id="{9082b4db-89af-46c4-81a5-ec13cd2f051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8" dT="2026-10-30T05:26:04.00" personId="{9082b4db-89af-46c4-81a5-ec13cd2f051a}" id="{71dc6e89-628c-4f2a-830f-ebea32ccf11b}" done="0">
    <x18tc:text xml:space="preserve">Price is legacy-proposal baseline, not vendor-requoted (tracker §2.6). Action #32 unresolved: confirm whether the Giga Nepal 1100mAh cell (sourced v34) is already a protected pack — if so, drop this line.</x18tc:text>
  </x18tc:threadedComment>
  <x18tc:threadedComment ref="G14" dT="2026-10-30T05:26:04.00" personId="{9082b4db-89af-46c4-81a5-ec13cd2f051a}" id="{59876f77-2e7a-43c8-8463-9db61f459a25}" done="0">
    <x18tc:text xml:space="preserve">Legacy-proposal baseline pricing, not re-quoted against a live vendor (tracker §2.6). "SLT Pvt.Ltd" isn't corroborated anywhere in tracker sourcing history — confirm before ordering.</x18tc:text>
  </x18tc:threadedComment>
  <x18tc:threadedComment ref="G13" dT="2026-10-30T05:26:04.00" personId="{9082b4db-89af-46c4-81a5-ec13cd2f051a}" id="{76eb22b6-b33e-4cfe-a1c1-4a6008038f67}" done="0">
    <x18tc:text xml:space="preserve">Legacy-proposal baseline pricing, not re-quoted against a live vendor (tracker §2.6). "SLT Pvt.Ltd" isn't corroborated anywhere in tracker sourcing history — confirm before ordering.</x18tc:text>
  </x18tc:threadedComment>
  <x18tc:threadedComment ref="G11" dT="2026-10-30T05:26:04.00" personId="{9082b4db-89af-46c4-81a5-ec13cd2f051a}" id="{48f63c56-a4ff-4f0b-8691-31b7b3728839}" done="0">
    <x18tc:text xml:space="preserve">Switched v38 from per-part TPU print-service (KEC Makerspace charges NPR 4/g per print, was NPR 90 for the ~22g enclosure estimate) to buying a 1kg roll outright at the same NPR 4/g rate = NPR 4,000. Team now owns the filament; only ~22g needed for one enclosure per the v38 geometric estimate (tracker Action #36), so most of the roll is spare/future-use, not consumed by this one part. Roll vendor not yet sourced to a live listing — confirm before ordering.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43.0"/>
    <col customWidth="1" min="3" max="3" width="8.14"/>
    <col customWidth="1" min="4" max="4" width="11.57"/>
    <col customWidth="1" min="5" max="5" width="13.0"/>
    <col customWidth="1" min="6" max="6" width="8.71"/>
    <col customWidth="1" min="7" max="7" width="33.71"/>
    <col customWidth="1" min="8" max="8" width="8.14"/>
    <col customWidth="1" min="9" max="9" width="9.0"/>
    <col customWidth="1" min="10" max="10" width="8.86"/>
    <col customWidth="1" min="11" max="11" width="9.0"/>
    <col customWidth="1" min="12" max="12" width="25.71"/>
    <col customWidth="1" min="13" max="13" width="14.86"/>
    <col customWidth="1" min="14" max="26" width="9.0"/>
  </cols>
  <sheetData>
    <row r="1" ht="14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"/>
      <c r="B2" s="7"/>
      <c r="C2" s="7"/>
      <c r="D2" s="7"/>
      <c r="E2" s="7"/>
      <c r="F2" s="7"/>
      <c r="G2" s="7"/>
      <c r="H2" s="7"/>
      <c r="I2" s="7"/>
      <c r="J2" s="8"/>
      <c r="K2" s="4"/>
      <c r="L2" s="4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9"/>
      <c r="B3" s="10" t="s">
        <v>1</v>
      </c>
      <c r="C3" s="11"/>
      <c r="D3" s="11"/>
      <c r="E3" s="11"/>
      <c r="F3" s="12"/>
      <c r="G3" s="13"/>
      <c r="H3" s="14" t="s">
        <v>2</v>
      </c>
      <c r="I3" s="11"/>
      <c r="J3" s="12"/>
      <c r="K3" s="4"/>
      <c r="L3" s="4"/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39.0" customHeight="1">
      <c r="A4" s="13" t="s">
        <v>3</v>
      </c>
      <c r="B4" s="15" t="s">
        <v>4</v>
      </c>
      <c r="C4" s="15" t="s">
        <v>5</v>
      </c>
      <c r="D4" s="15" t="s">
        <v>6</v>
      </c>
      <c r="E4" s="15" t="s">
        <v>7</v>
      </c>
      <c r="F4" s="15" t="s">
        <v>8</v>
      </c>
      <c r="G4" s="15" t="s">
        <v>9</v>
      </c>
      <c r="H4" s="15" t="s">
        <v>5</v>
      </c>
      <c r="I4" s="15" t="s">
        <v>7</v>
      </c>
      <c r="J4" s="15" t="s">
        <v>10</v>
      </c>
      <c r="K4" s="4"/>
      <c r="L4" s="4"/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40.5" customHeight="1">
      <c r="A5" s="16">
        <v>1.0</v>
      </c>
      <c r="B5" s="17" t="s">
        <v>11</v>
      </c>
      <c r="C5" s="17">
        <v>0.0</v>
      </c>
      <c r="D5" s="17">
        <v>0.0</v>
      </c>
      <c r="E5" s="18">
        <v>0.0</v>
      </c>
      <c r="F5" s="18">
        <f t="shared" ref="F5:F19" si="1">C5*E5</f>
        <v>0</v>
      </c>
      <c r="G5" s="17" t="s">
        <v>12</v>
      </c>
      <c r="H5" s="17">
        <v>3.0</v>
      </c>
      <c r="I5" s="17">
        <v>2210.0</v>
      </c>
      <c r="J5" s="16">
        <f t="shared" ref="J5:J19" si="2">H5*I5</f>
        <v>6630</v>
      </c>
      <c r="K5" s="4"/>
      <c r="L5" s="14" t="s">
        <v>13</v>
      </c>
      <c r="M5" s="19" t="s">
        <v>14</v>
      </c>
      <c r="N5" s="20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6">
        <v>2.0</v>
      </c>
      <c r="B6" s="17" t="s">
        <v>15</v>
      </c>
      <c r="C6" s="17">
        <v>0.0</v>
      </c>
      <c r="D6" s="17">
        <v>0.0</v>
      </c>
      <c r="E6" s="18">
        <v>0.0</v>
      </c>
      <c r="F6" s="18">
        <f t="shared" si="1"/>
        <v>0</v>
      </c>
      <c r="G6" s="17" t="s">
        <v>16</v>
      </c>
      <c r="H6" s="17">
        <v>3.0</v>
      </c>
      <c r="I6" s="17">
        <v>350.0</v>
      </c>
      <c r="J6" s="16">
        <f t="shared" si="2"/>
        <v>1050</v>
      </c>
      <c r="K6" s="4"/>
      <c r="L6" s="17" t="s">
        <v>17</v>
      </c>
      <c r="M6" s="17">
        <v>9.84460205E9</v>
      </c>
      <c r="N6" s="21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8.5" customHeight="1">
      <c r="A7" s="16">
        <v>3.0</v>
      </c>
      <c r="B7" s="17" t="s">
        <v>18</v>
      </c>
      <c r="C7" s="17">
        <v>0.0</v>
      </c>
      <c r="D7" s="17">
        <v>0.0</v>
      </c>
      <c r="E7" s="18">
        <v>0.0</v>
      </c>
      <c r="F7" s="18">
        <f t="shared" si="1"/>
        <v>0</v>
      </c>
      <c r="G7" s="17" t="s">
        <v>19</v>
      </c>
      <c r="H7" s="17">
        <v>2.0</v>
      </c>
      <c r="I7" s="17">
        <v>550.0</v>
      </c>
      <c r="J7" s="16">
        <f t="shared" si="2"/>
        <v>1100</v>
      </c>
      <c r="K7" s="4"/>
      <c r="L7" s="17" t="s">
        <v>20</v>
      </c>
      <c r="M7" s="17">
        <v>9.845842901E9</v>
      </c>
      <c r="N7" s="21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8.5" customHeight="1">
      <c r="A8" s="16">
        <v>4.0</v>
      </c>
      <c r="B8" s="17" t="s">
        <v>21</v>
      </c>
      <c r="C8" s="17">
        <v>0.0</v>
      </c>
      <c r="D8" s="17">
        <v>0.0</v>
      </c>
      <c r="E8" s="18">
        <v>0.0</v>
      </c>
      <c r="F8" s="18">
        <f t="shared" si="1"/>
        <v>0</v>
      </c>
      <c r="G8" s="17" t="s">
        <v>16</v>
      </c>
      <c r="H8" s="17">
        <v>3.0</v>
      </c>
      <c r="I8" s="17">
        <v>100.0</v>
      </c>
      <c r="J8" s="16">
        <f t="shared" si="2"/>
        <v>300</v>
      </c>
      <c r="K8" s="4"/>
      <c r="L8" s="17" t="s">
        <v>22</v>
      </c>
      <c r="M8" s="17">
        <v>9.818912244E9</v>
      </c>
      <c r="N8" s="21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16">
        <v>5.0</v>
      </c>
      <c r="B9" s="17" t="s">
        <v>23</v>
      </c>
      <c r="C9" s="17">
        <v>0.0</v>
      </c>
      <c r="D9" s="17">
        <v>0.0</v>
      </c>
      <c r="E9" s="18">
        <v>0.0</v>
      </c>
      <c r="F9" s="18">
        <f t="shared" si="1"/>
        <v>0</v>
      </c>
      <c r="G9" s="17" t="s">
        <v>24</v>
      </c>
      <c r="H9" s="17">
        <v>2.0</v>
      </c>
      <c r="I9" s="17">
        <v>500.0</v>
      </c>
      <c r="J9" s="16">
        <f t="shared" si="2"/>
        <v>1000</v>
      </c>
      <c r="K9" s="4"/>
      <c r="L9" s="17" t="s">
        <v>25</v>
      </c>
      <c r="M9" s="17">
        <v>9.819137477E9</v>
      </c>
      <c r="N9" s="21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8.5" customHeight="1">
      <c r="A10" s="16">
        <v>6.0</v>
      </c>
      <c r="B10" s="17" t="s">
        <v>26</v>
      </c>
      <c r="C10" s="17">
        <v>0.0</v>
      </c>
      <c r="D10" s="17">
        <v>0.0</v>
      </c>
      <c r="E10" s="18">
        <v>0.0</v>
      </c>
      <c r="F10" s="18">
        <f t="shared" si="1"/>
        <v>0</v>
      </c>
      <c r="G10" s="17" t="s">
        <v>27</v>
      </c>
      <c r="H10" s="17">
        <v>2.0</v>
      </c>
      <c r="I10" s="17">
        <v>136.0</v>
      </c>
      <c r="J10" s="16">
        <f t="shared" si="2"/>
        <v>272</v>
      </c>
      <c r="K10" s="4"/>
      <c r="L10" s="22" t="s">
        <v>28</v>
      </c>
      <c r="M10" s="23">
        <v>9.841576746E9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8.5" customHeight="1">
      <c r="A11" s="16">
        <v>7.0</v>
      </c>
      <c r="B11" s="17" t="s">
        <v>29</v>
      </c>
      <c r="C11" s="17">
        <v>0.0</v>
      </c>
      <c r="D11" s="17">
        <v>0.0</v>
      </c>
      <c r="E11" s="18">
        <v>0.0</v>
      </c>
      <c r="F11" s="18">
        <f t="shared" si="1"/>
        <v>0</v>
      </c>
      <c r="G11" s="17" t="s">
        <v>30</v>
      </c>
      <c r="H11" s="24">
        <v>1.0</v>
      </c>
      <c r="I11" s="17">
        <v>4000.0</v>
      </c>
      <c r="J11" s="16">
        <f t="shared" si="2"/>
        <v>4000</v>
      </c>
      <c r="K11" s="4"/>
      <c r="L11" s="25"/>
      <c r="M11" s="25"/>
      <c r="N11" s="21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53.25" customHeight="1">
      <c r="A12" s="16">
        <v>8.0</v>
      </c>
      <c r="B12" s="17" t="s">
        <v>31</v>
      </c>
      <c r="C12" s="17">
        <v>0.0</v>
      </c>
      <c r="D12" s="17">
        <v>0.0</v>
      </c>
      <c r="E12" s="18">
        <v>0.0</v>
      </c>
      <c r="F12" s="18">
        <f t="shared" si="1"/>
        <v>0</v>
      </c>
      <c r="G12" s="17" t="s">
        <v>16</v>
      </c>
      <c r="H12" s="17">
        <v>3.0</v>
      </c>
      <c r="I12" s="17">
        <v>150.0</v>
      </c>
      <c r="J12" s="16">
        <f t="shared" si="2"/>
        <v>450</v>
      </c>
      <c r="K12" s="4"/>
      <c r="L12" s="26"/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40.5" customHeight="1">
      <c r="A13" s="16">
        <v>9.0</v>
      </c>
      <c r="B13" s="17" t="s">
        <v>32</v>
      </c>
      <c r="C13" s="17">
        <v>0.0</v>
      </c>
      <c r="D13" s="17">
        <v>0.0</v>
      </c>
      <c r="E13" s="18">
        <v>0.0</v>
      </c>
      <c r="F13" s="18">
        <f t="shared" si="1"/>
        <v>0</v>
      </c>
      <c r="G13" s="17" t="s">
        <v>16</v>
      </c>
      <c r="H13" s="27">
        <v>2.0</v>
      </c>
      <c r="I13" s="17">
        <v>325.0</v>
      </c>
      <c r="J13" s="16">
        <f t="shared" si="2"/>
        <v>650</v>
      </c>
      <c r="K13" s="26"/>
      <c r="L13" s="26"/>
      <c r="M13" s="2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40.5" customHeight="1">
      <c r="A14" s="16">
        <v>10.0</v>
      </c>
      <c r="B14" s="17" t="s">
        <v>33</v>
      </c>
      <c r="C14" s="17">
        <v>0.0</v>
      </c>
      <c r="D14" s="17">
        <v>0.0</v>
      </c>
      <c r="E14" s="18">
        <v>0.0</v>
      </c>
      <c r="F14" s="18">
        <f t="shared" si="1"/>
        <v>0</v>
      </c>
      <c r="G14" s="17" t="s">
        <v>16</v>
      </c>
      <c r="H14" s="28">
        <v>1.0</v>
      </c>
      <c r="I14" s="17">
        <v>600.0</v>
      </c>
      <c r="J14" s="16">
        <f t="shared" si="2"/>
        <v>600</v>
      </c>
      <c r="K14" s="4"/>
      <c r="L14" s="25"/>
      <c r="M14" s="25"/>
      <c r="N14" s="21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42.75" customHeight="1">
      <c r="A15" s="16">
        <v>11.0</v>
      </c>
      <c r="B15" s="17" t="s">
        <v>34</v>
      </c>
      <c r="C15" s="17">
        <v>0.0</v>
      </c>
      <c r="D15" s="17">
        <v>0.0</v>
      </c>
      <c r="E15" s="18">
        <v>0.0</v>
      </c>
      <c r="F15" s="18">
        <f t="shared" si="1"/>
        <v>0</v>
      </c>
      <c r="G15" s="17" t="s">
        <v>35</v>
      </c>
      <c r="H15" s="29">
        <v>20.0</v>
      </c>
      <c r="I15" s="17">
        <v>15.0</v>
      </c>
      <c r="J15" s="16">
        <f t="shared" si="2"/>
        <v>300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8.5" customHeight="1">
      <c r="A16" s="16">
        <v>12.0</v>
      </c>
      <c r="B16" s="17" t="s">
        <v>36</v>
      </c>
      <c r="C16" s="17">
        <v>0.0</v>
      </c>
      <c r="D16" s="17">
        <v>0.0</v>
      </c>
      <c r="E16" s="18">
        <v>0.0</v>
      </c>
      <c r="F16" s="18">
        <f t="shared" si="1"/>
        <v>0</v>
      </c>
      <c r="G16" s="17" t="s">
        <v>16</v>
      </c>
      <c r="H16" s="17">
        <v>3.0</v>
      </c>
      <c r="I16" s="17">
        <v>25.0</v>
      </c>
      <c r="J16" s="16">
        <f t="shared" si="2"/>
        <v>75</v>
      </c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33.0" customHeight="1">
      <c r="A17" s="16">
        <v>13.0</v>
      </c>
      <c r="B17" s="17" t="s">
        <v>37</v>
      </c>
      <c r="C17" s="17">
        <v>0.0</v>
      </c>
      <c r="D17" s="17">
        <v>0.0</v>
      </c>
      <c r="E17" s="18">
        <v>0.0</v>
      </c>
      <c r="F17" s="18">
        <f t="shared" si="1"/>
        <v>0</v>
      </c>
      <c r="G17" s="17" t="s">
        <v>38</v>
      </c>
      <c r="H17" s="31">
        <v>1.0</v>
      </c>
      <c r="I17" s="17">
        <v>150.0</v>
      </c>
      <c r="J17" s="16">
        <f t="shared" si="2"/>
        <v>150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62.25" customHeight="1">
      <c r="A18" s="16">
        <v>14.0</v>
      </c>
      <c r="B18" s="17" t="s">
        <v>39</v>
      </c>
      <c r="C18" s="17">
        <v>0.0</v>
      </c>
      <c r="D18" s="17">
        <v>0.0</v>
      </c>
      <c r="E18" s="18">
        <v>0.0</v>
      </c>
      <c r="F18" s="18">
        <f t="shared" si="1"/>
        <v>0</v>
      </c>
      <c r="G18" s="17" t="s">
        <v>16</v>
      </c>
      <c r="H18" s="32">
        <v>1.0</v>
      </c>
      <c r="I18" s="17">
        <v>700.0</v>
      </c>
      <c r="J18" s="16">
        <f t="shared" si="2"/>
        <v>700</v>
      </c>
      <c r="K18" s="33"/>
      <c r="L18" s="33"/>
      <c r="M18" s="33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33.0" customHeight="1">
      <c r="A19" s="16">
        <v>15.0</v>
      </c>
      <c r="B19" s="17" t="s">
        <v>40</v>
      </c>
      <c r="C19" s="17">
        <v>0.0</v>
      </c>
      <c r="D19" s="17">
        <v>0.0</v>
      </c>
      <c r="E19" s="18">
        <v>0.0</v>
      </c>
      <c r="F19" s="18">
        <f t="shared" si="1"/>
        <v>0</v>
      </c>
      <c r="G19" s="17" t="s">
        <v>41</v>
      </c>
      <c r="H19" s="31">
        <v>1.0</v>
      </c>
      <c r="I19" s="17">
        <v>400.0</v>
      </c>
      <c r="J19" s="16">
        <f t="shared" si="2"/>
        <v>400</v>
      </c>
      <c r="K19" s="26"/>
      <c r="L19" s="26"/>
      <c r="M19" s="26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13"/>
      <c r="B20" s="34"/>
      <c r="C20" s="13"/>
      <c r="D20" s="35" t="s">
        <v>42</v>
      </c>
      <c r="E20" s="12"/>
      <c r="F20" s="36">
        <f>SUM(F5:F19)</f>
        <v>0</v>
      </c>
      <c r="G20" s="13"/>
      <c r="H20" s="35" t="s">
        <v>42</v>
      </c>
      <c r="I20" s="12"/>
      <c r="J20" s="13">
        <f>SUM(J5:J19)</f>
        <v>17677</v>
      </c>
      <c r="K20" s="26"/>
      <c r="L20" s="26"/>
      <c r="M20" s="26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0" customHeight="1">
      <c r="A21" s="13"/>
      <c r="B21" s="34"/>
      <c r="C21" s="13"/>
      <c r="D21" s="35" t="s">
        <v>43</v>
      </c>
      <c r="E21" s="12"/>
      <c r="F21" s="36">
        <f>F20</f>
        <v>0</v>
      </c>
      <c r="G21" s="13"/>
      <c r="H21" s="35" t="s">
        <v>43</v>
      </c>
      <c r="I21" s="12"/>
      <c r="J21" s="13">
        <f>J20</f>
        <v>17677</v>
      </c>
      <c r="K21" s="26"/>
      <c r="L21" s="26"/>
      <c r="M21" s="26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37"/>
      <c r="B22" s="38"/>
      <c r="C22" s="5"/>
      <c r="D22" s="5"/>
      <c r="E22" s="5"/>
      <c r="F22" s="5"/>
      <c r="G22" s="5"/>
      <c r="H22" s="5"/>
      <c r="I22" s="5"/>
      <c r="J22" s="5"/>
      <c r="K22" s="26"/>
      <c r="L22" s="26"/>
      <c r="M22" s="26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39" t="s">
        <v>44</v>
      </c>
      <c r="C23" s="40"/>
      <c r="D23" s="40"/>
      <c r="E23" s="40"/>
      <c r="F23" s="40"/>
      <c r="G23" s="40"/>
      <c r="H23" s="40"/>
      <c r="I23" s="40"/>
      <c r="J23" s="40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41" t="s">
        <v>45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41" t="s">
        <v>46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41" t="s">
        <v>47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41" t="s">
        <v>48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38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42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38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38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38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">
    <mergeCell ref="B24:J24"/>
    <mergeCell ref="B25:J25"/>
    <mergeCell ref="B26:J26"/>
    <mergeCell ref="B27:J27"/>
    <mergeCell ref="A1:J2"/>
    <mergeCell ref="B3:F3"/>
    <mergeCell ref="H3:J3"/>
    <mergeCell ref="D20:E20"/>
    <mergeCell ref="H20:I20"/>
    <mergeCell ref="D21:E21"/>
    <mergeCell ref="H21:I21"/>
  </mergeCells>
  <printOptions/>
  <pageMargins bottom="0.75" footer="0.0" header="0.0" left="0.699999988079071" right="0.699999988079071" top="0.75"/>
  <pageSetup paperSize="9" orientation="portrait"/>
  <drawing r:id="rId4"/>
  <legacyDrawing r:id="rId5"/>
</worksheet>
</file>