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0&quot; roll&quot;"/>
    <numFmt numFmtId="165" formatCode="0&quot; kits&quot;"/>
    <numFmt numFmtId="166" formatCode="0&quot; kit&quot;"/>
    <numFmt numFmtId="167" formatCode="0&quot; sets&quot;"/>
    <numFmt numFmtId="168" formatCode="0&quot; lot&quot;"/>
    <numFmt numFmtId="169" formatCode="0&quot; lot for 2 nodes&quot;"/>
  </numFmts>
  <fonts count="11">
    <font>
      <name val="Calibri"/>
      <charset val="1"/>
      <family val="2"/>
      <color theme="1"/>
      <sz val="11"/>
      <scheme val="minor"/>
    </font>
    <font>
      <name val="Arial"/>
      <charset val="1"/>
      <family val="2"/>
      <color theme="1"/>
      <sz val="10"/>
    </font>
    <font>
      <name val="Arial"/>
      <charset val="1"/>
      <family val="2"/>
      <color rgb="FF000000"/>
      <sz val="10"/>
    </font>
    <font>
      <name val="&quot;Times New Roman&quot;"/>
      <charset val="1"/>
      <family val="2"/>
      <color rgb="FF000000"/>
      <sz val="10"/>
    </font>
    <font>
      <name val="&quot;Times New Roman&quot;"/>
      <charset val="1"/>
      <family val="2"/>
      <b val="1"/>
      <color rgb="FF000000"/>
      <sz val="10"/>
    </font>
    <font>
      <name val="&quot;Times New Roman&quot;"/>
      <charset val="1"/>
      <family val="2"/>
      <b val="1"/>
      <color rgb="FF000000"/>
      <sz val="14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rgb="FF000000"/>
      <sz val="10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>
        <bgColor indexed="64"/>
      </patternFill>
    </fill>
    <fill>
      <patternFill patternType="solid">
        <fgColor theme="0"/>
        <b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7" fontId="2" fillId="0" borderId="1" applyAlignment="1" pivotButton="0" quotePrefix="0" xfId="0">
      <alignment horizontal="left" vertical="center" wrapText="1"/>
    </xf>
    <xf numFmtId="168" fontId="2" fillId="0" borderId="1" applyAlignment="1" pivotButton="0" quotePrefix="0" xfId="0">
      <alignment horizontal="left" vertical="center" wrapText="1"/>
    </xf>
    <xf numFmtId="169" fontId="2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G8" authorId="0" shapeId="0">
      <text>
        <t>Price is legacy-proposal baseline, not vendor-requoted (tracker §2.6). Action #32 unresolved: confirm whether the Giga Nepal 1100mAh cell (sourced v34) is already a protected pack — if so, drop this line.</t>
      </text>
    </comment>
    <comment ref="G11" authorId="0" shapeId="0">
      <text>
        <t>Switched v38 from per-part TPU print-service (KEC Makerspace charges NPR 4/g per print, was NPR 90 for the ~22g enclosure estimate) to buying a 1kg roll outright at the same NPR 4/g rate = NPR 4,000. Team now owns the filament; only ~22g needed for one enclosure per the v38 geometric estimate (tracker Action #36), so most of the roll is spare/future-use, not consumed by this one part. Roll vendor not yet sourced to a live listing — confirm before ordering.</t>
      </text>
    </comment>
    <comment ref="G13" authorId="0" shapeId="0">
      <text>
        <t>Legacy-proposal baseline pricing, not re-quoted against a live vendor (tracker §2.6). "SLT Pvt.Ltd" isn't corroborated anywhere in tracker sourcing history — confirm before ordering.</t>
      </text>
    </comment>
    <comment ref="G14" authorId="0" shapeId="0">
      <text>
        <t>Legacy-proposal baseline pricing, not re-quoted against a live vendor (tracker §2.6). "SLT Pvt.Ltd" isn't corroborated anywhere in tracker sourcing history — confirm before ordering.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tabSelected="1" zoomScale="85" zoomScaleNormal="85" workbookViewId="0">
      <selection activeCell="M12" sqref="M12"/>
    </sheetView>
  </sheetViews>
  <sheetFormatPr baseColWidth="8" defaultColWidth="9.00390625" defaultRowHeight="14.25" customHeight="1"/>
  <cols>
    <col width="5.00390625" customWidth="1" style="1" min="1" max="1"/>
    <col width="43.00390625" customWidth="1" style="1" min="2" max="2"/>
    <col width="8.140625" customWidth="1" style="1" min="3" max="3"/>
    <col width="11.57421875" customWidth="1" style="1" min="4" max="4"/>
    <col width="13.00390625" customWidth="1" style="1" min="5" max="5"/>
    <col width="8.7109375" customWidth="1" style="1" min="6" max="6"/>
    <col width="33.7109375" customWidth="1" style="1" min="7" max="7"/>
    <col width="8.140625" customWidth="1" style="1" min="8" max="8"/>
    <col width="9.00390625" customWidth="1" style="1" min="9" max="9"/>
    <col width="8.8515625" customWidth="1" style="1" min="10" max="10"/>
    <col width="9.00390625" customWidth="1" style="1" min="11" max="11"/>
    <col width="25.7109375" customWidth="1" style="1" min="12" max="12"/>
    <col width="14.8515625" customWidth="1" style="1" min="13" max="13"/>
    <col width="9.00390625" customWidth="1" style="1" min="14" max="16384"/>
  </cols>
  <sheetData>
    <row r="1">
      <c r="A1" s="17" t="inlineStr">
        <is>
          <t>Project name: SPARK — Wearable Fall Detection System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4" t="n"/>
      <c r="K1" s="2" t="n"/>
      <c r="L1" s="2" t="n"/>
      <c r="M1" s="2" t="n"/>
    </row>
    <row r="2">
      <c r="A2" s="35" t="n"/>
      <c r="B2" s="36" t="n"/>
      <c r="C2" s="36" t="n"/>
      <c r="D2" s="36" t="n"/>
      <c r="E2" s="36" t="n"/>
      <c r="F2" s="36" t="n"/>
      <c r="G2" s="36" t="n"/>
      <c r="H2" s="36" t="n"/>
      <c r="I2" s="36" t="n"/>
      <c r="J2" s="37" t="n"/>
      <c r="K2" s="2" t="n"/>
      <c r="L2" s="2" t="n"/>
      <c r="M2" s="2" t="n"/>
    </row>
    <row r="3">
      <c r="A3" s="18" t="n"/>
      <c r="B3" s="16" t="inlineStr">
        <is>
          <t>Components List</t>
        </is>
      </c>
      <c r="C3" s="38" t="n"/>
      <c r="D3" s="38" t="n"/>
      <c r="E3" s="38" t="n"/>
      <c r="F3" s="15" t="n"/>
      <c r="G3" s="19" t="n"/>
      <c r="H3" s="20" t="inlineStr">
        <is>
          <t>TO ORDER</t>
        </is>
      </c>
      <c r="I3" s="38" t="n"/>
      <c r="J3" s="15" t="n"/>
      <c r="K3" s="2" t="n"/>
      <c r="L3" s="2" t="n"/>
      <c r="M3" s="2" t="n"/>
    </row>
    <row r="4" ht="39.4" customHeight="1">
      <c r="A4" s="18" t="inlineStr">
        <is>
          <t>S.N.</t>
        </is>
      </c>
      <c r="B4" s="20" t="inlineStr">
        <is>
          <t>Components with main features</t>
        </is>
      </c>
      <c r="C4" s="20" t="inlineStr">
        <is>
          <t>Quantity</t>
        </is>
      </c>
      <c r="D4" s="20" t="inlineStr">
        <is>
          <t>ISSUED (NRs.)</t>
        </is>
      </c>
      <c r="E4" s="20" t="inlineStr">
        <is>
          <t>Unit Cost (NRs.)</t>
        </is>
      </c>
      <c r="F4" s="20" t="inlineStr">
        <is>
          <t>Total Cost</t>
        </is>
      </c>
      <c r="G4" s="20" t="inlineStr">
        <is>
          <t>Availability</t>
        </is>
      </c>
      <c r="H4" s="20" t="inlineStr">
        <is>
          <t>Quantity</t>
        </is>
      </c>
      <c r="I4" s="20" t="inlineStr">
        <is>
          <t>Unit Cost (NRs.)</t>
        </is>
      </c>
      <c r="J4" s="20" t="inlineStr">
        <is>
          <t>Total Cost (NRs.)</t>
        </is>
      </c>
      <c r="K4" s="2" t="n"/>
      <c r="L4" s="2" t="n"/>
      <c r="M4" s="2" t="n"/>
    </row>
    <row r="5" ht="40.5" customHeight="1">
      <c r="A5" s="12" t="n">
        <v>1</v>
      </c>
      <c r="B5" s="3" t="inlineStr">
        <is>
          <t>ESP32-S3 N16R8 development board, 44-pin, 16 MB flash, 8 MB PSRAM, including 50 cm USB-C cable</t>
        </is>
      </c>
      <c r="C5" s="3" t="n">
        <v>0</v>
      </c>
      <c r="D5" s="3" t="n">
        <v>0</v>
      </c>
      <c r="E5" s="4" t="n">
        <v>0</v>
      </c>
      <c r="F5" s="4">
        <f>C5*E5</f>
        <v/>
      </c>
      <c r="G5" s="3" t="inlineStr">
        <is>
          <t>Daraz — Buy More Save More Store</t>
        </is>
      </c>
      <c r="H5" s="3" t="n">
        <v>3</v>
      </c>
      <c r="I5" s="3" t="n">
        <v>2210</v>
      </c>
      <c r="J5" s="5">
        <f>H5*I5</f>
        <v/>
      </c>
      <c r="K5" s="2" t="n"/>
      <c r="L5" s="16" t="inlineStr">
        <is>
          <t>Members:</t>
        </is>
      </c>
      <c r="M5" s="15" t="n"/>
      <c r="N5" s="6" t="n"/>
    </row>
    <row r="6" ht="15" customHeight="1">
      <c r="A6" s="12" t="n">
        <v>2</v>
      </c>
      <c r="B6" s="3" t="inlineStr">
        <is>
          <t>MPU6050 six-axis IMU module</t>
        </is>
      </c>
      <c r="C6" s="3" t="n">
        <v>0</v>
      </c>
      <c r="D6" s="3" t="n">
        <v>0</v>
      </c>
      <c r="E6" s="4" t="n">
        <v>0</v>
      </c>
      <c r="F6" s="4">
        <f>C6*E6</f>
        <v/>
      </c>
      <c r="G6" s="3" t="inlineStr">
        <is>
          <t>Himalayan Solutions</t>
        </is>
      </c>
      <c r="H6" s="3" t="n">
        <v>3</v>
      </c>
      <c r="I6" s="3" t="n">
        <v>350</v>
      </c>
      <c r="J6" s="5">
        <f>H6*I6</f>
        <v/>
      </c>
      <c r="K6" s="2" t="n"/>
      <c r="L6" s="8" t="inlineStr">
        <is>
          <t>Aaradhya Dev Tamrakar</t>
        </is>
      </c>
      <c r="M6" s="8" t="n">
        <v>9844602050</v>
      </c>
      <c r="N6" s="9" t="n"/>
    </row>
    <row r="7" ht="28.5" customHeight="1">
      <c r="A7" s="12" t="n">
        <v>3</v>
      </c>
      <c r="B7" s="3" t="inlineStr">
        <is>
          <t>Single-cell 3.7 V, 1100 mAh LiPo battery; dimensions and connector to be confirmed</t>
        </is>
      </c>
      <c r="C7" s="3" t="n">
        <v>0</v>
      </c>
      <c r="D7" s="3" t="n">
        <v>0</v>
      </c>
      <c r="E7" s="4" t="n">
        <v>0</v>
      </c>
      <c r="F7" s="4">
        <f>C7*E7</f>
        <v/>
      </c>
      <c r="G7" s="3" t="inlineStr">
        <is>
          <t>Giga Nepal</t>
        </is>
      </c>
      <c r="H7" s="3" t="n">
        <v>2</v>
      </c>
      <c r="I7" s="3" t="n">
        <v>550</v>
      </c>
      <c r="J7" s="5">
        <f>H7*I7</f>
        <v/>
      </c>
      <c r="K7" s="2" t="n"/>
      <c r="L7" s="8" t="inlineStr">
        <is>
          <t>Rupesh Kadel</t>
        </is>
      </c>
      <c r="M7" s="8" t="n">
        <v>9845842901</v>
      </c>
      <c r="N7" s="9" t="n"/>
    </row>
    <row r="8" ht="28.5" customHeight="1">
      <c r="A8" s="12" t="n">
        <v>4</v>
      </c>
      <c r="B8" s="3" t="inlineStr">
        <is>
          <t>TP4056 Type-C charging module with battery protection</t>
        </is>
      </c>
      <c r="C8" s="3" t="n">
        <v>0</v>
      </c>
      <c r="D8" s="3" t="n">
        <v>0</v>
      </c>
      <c r="E8" s="4" t="n">
        <v>0</v>
      </c>
      <c r="F8" s="4">
        <f>C8*E8</f>
        <v/>
      </c>
      <c r="G8" s="3" t="inlineStr">
        <is>
          <t>Himalayan Solutions</t>
        </is>
      </c>
      <c r="H8" s="3" t="n">
        <v>3</v>
      </c>
      <c r="I8" s="3" t="n">
        <v>100</v>
      </c>
      <c r="J8" s="5">
        <f>H8*I8</f>
        <v/>
      </c>
      <c r="K8" s="2" t="n"/>
      <c r="L8" s="8" t="inlineStr">
        <is>
          <t>Sankalpa Lamsal</t>
        </is>
      </c>
      <c r="M8" s="8" t="n">
        <v>9818912244</v>
      </c>
      <c r="N8" s="9" t="n"/>
    </row>
    <row r="9" ht="15" customHeight="1">
      <c r="A9" s="12" t="n">
        <v>5</v>
      </c>
      <c r="B9" s="3" t="inlineStr">
        <is>
          <t>Velcro wrist strap</t>
        </is>
      </c>
      <c r="C9" s="3" t="n">
        <v>0</v>
      </c>
      <c r="D9" s="3" t="n">
        <v>0</v>
      </c>
      <c r="E9" s="4" t="n">
        <v>0</v>
      </c>
      <c r="F9" s="4">
        <f>C9*E9</f>
        <v/>
      </c>
      <c r="G9" s="3" t="inlineStr">
        <is>
          <t>RR-papers</t>
        </is>
      </c>
      <c r="H9" s="3" t="n">
        <v>2</v>
      </c>
      <c r="I9" s="3" t="n">
        <v>500</v>
      </c>
      <c r="J9" s="5">
        <f>H9*I9</f>
        <v/>
      </c>
      <c r="K9" s="2" t="n"/>
      <c r="L9" s="8" t="inlineStr">
        <is>
          <t>Sonia Thapa</t>
        </is>
      </c>
      <c r="M9" s="8" t="n">
        <v>9819137477</v>
      </c>
      <c r="N9" s="9" t="n"/>
    </row>
    <row r="10" ht="28.5" customHeight="1">
      <c r="A10" s="12" t="n">
        <v>6</v>
      </c>
      <c r="B10" s="3" t="inlineStr">
        <is>
          <t>Compression arm sleeve, thumb-hole base layer</t>
        </is>
      </c>
      <c r="C10" s="3" t="n">
        <v>0</v>
      </c>
      <c r="D10" s="3" t="n">
        <v>0</v>
      </c>
      <c r="E10" s="4" t="n">
        <v>0</v>
      </c>
      <c r="F10" s="4">
        <f>C10*E10</f>
        <v/>
      </c>
      <c r="G10" s="3" t="inlineStr">
        <is>
          <t>Daraz — BLUE BELL Let's Slim</t>
        </is>
      </c>
      <c r="H10" s="3" t="n">
        <v>2</v>
      </c>
      <c r="I10" s="3" t="n">
        <v>136</v>
      </c>
      <c r="J10" s="5">
        <f>H10*I10</f>
        <v/>
      </c>
      <c r="K10" s="2" t="n"/>
      <c r="L10" s="8" t="inlineStr">
        <is>
          <t>Dipen Manandhar (Supervisor)</t>
        </is>
      </c>
      <c r="M10" s="5" t="n">
        <v>9841576746</v>
      </c>
    </row>
    <row r="11" ht="28.5" customHeight="1">
      <c r="A11" s="12" t="n">
        <v>7</v>
      </c>
      <c r="B11" s="3" t="inlineStr">
        <is>
          <t>TPU 95A filament, 1 kg roll, for enclosure fabrication</t>
        </is>
      </c>
      <c r="C11" s="3" t="n">
        <v>0</v>
      </c>
      <c r="D11" s="3" t="n">
        <v>0</v>
      </c>
      <c r="E11" s="4" t="n">
        <v>0</v>
      </c>
      <c r="F11" s="4">
        <f>C11*E11</f>
        <v/>
      </c>
      <c r="G11" s="3" t="inlineStr">
        <is>
          <t>KEC Makerspace / vendor TBD</t>
        </is>
      </c>
      <c r="H11" s="39" t="n">
        <v>1</v>
      </c>
      <c r="I11" s="3" t="n">
        <v>4000</v>
      </c>
      <c r="J11" s="5">
        <f>H11*I11</f>
        <v/>
      </c>
      <c r="K11" s="2" t="n"/>
      <c r="L11" s="10" t="n"/>
      <c r="M11" s="10" t="n"/>
      <c r="N11" s="9" t="n"/>
    </row>
    <row r="12" ht="53.25" customHeight="1">
      <c r="A12" s="12" t="n">
        <v>8</v>
      </c>
      <c r="B12" s="3" t="inlineStr">
        <is>
          <t>DC–DC 5 V boost converter, 3.7 V LiPo input, ≥800 mA output: Mini Fixed-5.0 V Sync Step-Up (FP6291/CKCS BS01, 11×10.5 mm) [1st choice] or MT3608 2 A [fallback]</t>
        </is>
      </c>
      <c r="C12" s="3" t="n">
        <v>0</v>
      </c>
      <c r="D12" s="3" t="n">
        <v>0</v>
      </c>
      <c r="E12" s="4" t="n">
        <v>0</v>
      </c>
      <c r="F12" s="4">
        <f>C12*E12</f>
        <v/>
      </c>
      <c r="G12" s="3" t="inlineStr">
        <is>
          <t>Himalayan Solutions</t>
        </is>
      </c>
      <c r="H12" s="3" t="n">
        <v>3</v>
      </c>
      <c r="I12" s="3" t="n">
        <v>150</v>
      </c>
      <c r="J12" s="5">
        <f>H12*I12</f>
        <v/>
      </c>
      <c r="K12" s="2" t="n"/>
      <c r="L12" s="11" t="n"/>
      <c r="M12" s="2" t="n"/>
    </row>
    <row r="13" ht="40.5" customHeight="1">
      <c r="A13" s="12" t="n">
        <v>9</v>
      </c>
      <c r="B13" s="3" t="inlineStr">
        <is>
          <t>Breadboard (MB-102 830-pt) + jumper wire kit (must include M-M, M-F, and F-F DuPont ribbons for 44-pin ESP32-S3)</t>
        </is>
      </c>
      <c r="C13" s="3" t="n">
        <v>0</v>
      </c>
      <c r="D13" s="3" t="n">
        <v>0</v>
      </c>
      <c r="E13" s="4" t="n">
        <v>0</v>
      </c>
      <c r="F13" s="4">
        <f>C13*E13</f>
        <v/>
      </c>
      <c r="G13" s="3" t="inlineStr">
        <is>
          <t>Himalayan Solutions</t>
        </is>
      </c>
      <c r="H13" s="40" t="n">
        <v>2</v>
      </c>
      <c r="I13" s="3" t="n">
        <v>325</v>
      </c>
      <c r="J13" s="5">
        <f>H13*I13</f>
        <v/>
      </c>
      <c r="K13" s="11" t="n"/>
      <c r="L13" s="11" t="n"/>
      <c r="M13" s="11" t="n"/>
    </row>
    <row r="14" ht="40.5" customHeight="1">
      <c r="A14" s="12" t="n">
        <v>10</v>
      </c>
      <c r="B14" s="3" t="inlineStr">
        <is>
          <t>Resistor/capacitor assortment (incl. 4.7 kΩ I2C pull-ups, 100 nF/10 µF decoupling caps, 5 mm LEDs, and tactile buttons)</t>
        </is>
      </c>
      <c r="C14" s="3" t="n">
        <v>0</v>
      </c>
      <c r="D14" s="3" t="n">
        <v>0</v>
      </c>
      <c r="E14" s="4" t="n">
        <v>0</v>
      </c>
      <c r="F14" s="4">
        <f>C14*E14</f>
        <v/>
      </c>
      <c r="G14" s="3" t="inlineStr">
        <is>
          <t>Himalayan Solutions</t>
        </is>
      </c>
      <c r="H14" s="41" t="n">
        <v>1</v>
      </c>
      <c r="I14" s="3" t="n">
        <v>600</v>
      </c>
      <c r="J14" s="5">
        <f>H14*I14</f>
        <v/>
      </c>
      <c r="K14" s="2" t="n"/>
      <c r="L14" s="10" t="n"/>
      <c r="M14" s="10" t="n"/>
      <c r="N14" s="9" t="n"/>
    </row>
    <row r="15" ht="42.75" customHeight="1">
      <c r="A15" s="12" t="n">
        <v>11</v>
      </c>
      <c r="B15" s="3" t="inlineStr">
        <is>
          <t>M2.5 machine screws (6 mm, 8 mm, 12 mm lengths) with matching M2.5 hex nuts</t>
        </is>
      </c>
      <c r="C15" s="3" t="n">
        <v>0</v>
      </c>
      <c r="D15" s="3" t="n">
        <v>0</v>
      </c>
      <c r="E15" s="4" t="n">
        <v>0</v>
      </c>
      <c r="F15" s="4">
        <f>C15*E15</f>
        <v/>
      </c>
      <c r="G15" s="3" t="inlineStr">
        <is>
          <t>Daraz Nepal</t>
        </is>
      </c>
      <c r="H15" s="42" t="n">
        <v>20</v>
      </c>
      <c r="I15" s="3" t="n">
        <v>15</v>
      </c>
      <c r="J15" s="5">
        <f>H15*I15</f>
        <v/>
      </c>
    </row>
    <row r="16" ht="28.5" customFormat="1" customHeight="1" s="32">
      <c r="A16" s="12" t="n">
        <v>12</v>
      </c>
      <c r="B16" s="3" t="inlineStr">
        <is>
          <t>Micro slide switch, SPDT, power cutoff; suitable current rating to be confirmed</t>
        </is>
      </c>
      <c r="C16" s="3" t="n">
        <v>0</v>
      </c>
      <c r="D16" s="3" t="n">
        <v>0</v>
      </c>
      <c r="E16" s="4" t="n">
        <v>0</v>
      </c>
      <c r="F16" s="4">
        <f>C16*E16</f>
        <v/>
      </c>
      <c r="G16" s="3" t="inlineStr">
        <is>
          <t>Himalayan Solutions</t>
        </is>
      </c>
      <c r="H16" s="3" t="n">
        <v>3</v>
      </c>
      <c r="I16" s="3" t="n">
        <v>25</v>
      </c>
      <c r="J16" s="5">
        <f>H16*I16</f>
        <v/>
      </c>
    </row>
    <row r="17" ht="33" customHeight="1">
      <c r="A17" s="12" t="n">
        <v>13</v>
      </c>
      <c r="B17" s="3" t="inlineStr">
        <is>
          <t>30 AWG flexible silicone ribbon wire for signal harnesses; length/conductor count to cover two nodes</t>
        </is>
      </c>
      <c r="C17" s="3" t="n">
        <v>0</v>
      </c>
      <c r="D17" s="3" t="n">
        <v>0</v>
      </c>
      <c r="E17" s="4" t="n">
        <v>0</v>
      </c>
      <c r="F17" s="4">
        <f>C17*E17</f>
        <v/>
      </c>
      <c r="G17" s="3" t="inlineStr">
        <is>
          <t>Himalayan Solutions / Daraz</t>
        </is>
      </c>
      <c r="H17" s="43" t="n">
        <v>1</v>
      </c>
      <c r="I17" s="3" t="n">
        <v>150</v>
      </c>
      <c r="J17" s="5">
        <f>H17*I17</f>
        <v/>
      </c>
    </row>
    <row r="18" ht="62.25" customHeight="1">
      <c r="A18" s="12" t="n">
        <v>14</v>
      </c>
      <c r="B18" s="3" t="inlineStr">
        <is>
          <t>Assembly &amp; Day-1 lot: 6× 2-pin JST pigtails, 2.54 mm male/female pin headers, 2 m 24 AWG wire, heat-shrink, Kapton/foam tape, 0.8 mm solder/flux, 2× perfboards, 1× nylon waist belt w/ buckle</t>
        </is>
      </c>
      <c r="C18" s="3" t="n">
        <v>0</v>
      </c>
      <c r="D18" s="3" t="n">
        <v>0</v>
      </c>
      <c r="E18" s="4" t="n">
        <v>0</v>
      </c>
      <c r="F18" s="4">
        <f>C18*E18</f>
        <v/>
      </c>
      <c r="G18" s="3" t="inlineStr">
        <is>
          <t>Himalayan Solutions</t>
        </is>
      </c>
      <c r="H18" s="44" t="n">
        <v>1</v>
      </c>
      <c r="I18" s="3" t="n">
        <v>700</v>
      </c>
      <c r="J18" s="5">
        <f>H18*I18</f>
        <v/>
      </c>
      <c r="K18" s="31" t="n"/>
      <c r="L18" s="31" t="n"/>
      <c r="M18" s="31" t="n"/>
    </row>
    <row r="19" ht="33" customHeight="1">
      <c r="A19" s="12" t="n">
        <v>15</v>
      </c>
      <c r="B19" s="3" t="inlineStr">
        <is>
          <t>Delivery charges (3× Daraz Kathmandu Metro orders + local supplier courier)</t>
        </is>
      </c>
      <c r="C19" s="3" t="n">
        <v>0</v>
      </c>
      <c r="D19" s="3" t="n">
        <v>0</v>
      </c>
      <c r="E19" s="4" t="n">
        <v>0</v>
      </c>
      <c r="F19" s="4">
        <f>C19*E19</f>
        <v/>
      </c>
      <c r="G19" s="3" t="inlineStr">
        <is>
          <t>Applicable suppliers</t>
        </is>
      </c>
      <c r="H19" s="43" t="n">
        <v>1</v>
      </c>
      <c r="I19" s="3" t="n">
        <v>400</v>
      </c>
      <c r="J19" s="5">
        <f>H19*I19</f>
        <v/>
      </c>
      <c r="K19" s="11" t="n"/>
      <c r="L19" s="11" t="n"/>
      <c r="M19" s="11" t="n"/>
    </row>
    <row r="20" ht="15" customHeight="1">
      <c r="A20" s="28" t="n"/>
      <c r="B20" s="29" t="n"/>
      <c r="C20" s="28" t="n"/>
      <c r="D20" s="28" t="inlineStr">
        <is>
          <t>Priced subtotal</t>
        </is>
      </c>
      <c r="E20" s="15" t="n"/>
      <c r="F20" s="28">
        <f>SUM(F5:F19)</f>
        <v/>
      </c>
      <c r="G20" s="28" t="n"/>
      <c r="H20" s="28" t="inlineStr">
        <is>
          <t>Priced subtotal</t>
        </is>
      </c>
      <c r="I20" s="15" t="n"/>
      <c r="J20" s="28">
        <f>SUM(J5:J19)</f>
        <v/>
      </c>
      <c r="K20" s="11" t="n"/>
      <c r="L20" s="11" t="n"/>
      <c r="M20" s="11" t="n"/>
    </row>
    <row r="21" ht="15" customHeight="1">
      <c r="A21" s="28" t="n"/>
      <c r="B21" s="29" t="n"/>
      <c r="C21" s="28" t="n"/>
      <c r="D21" s="28" t="inlineStr">
        <is>
          <t>Grand total</t>
        </is>
      </c>
      <c r="E21" s="15" t="n"/>
      <c r="F21" s="28">
        <f>F20</f>
        <v/>
      </c>
      <c r="G21" s="28" t="n"/>
      <c r="H21" s="28" t="inlineStr">
        <is>
          <t>Grand total</t>
        </is>
      </c>
      <c r="I21" s="15" t="n"/>
      <c r="J21" s="28">
        <f>J20</f>
        <v/>
      </c>
      <c r="K21" s="11" t="n"/>
      <c r="L21" s="11" t="n"/>
      <c r="M21" s="11" t="n"/>
    </row>
    <row r="22">
      <c r="A22" s="14" t="n"/>
      <c r="B22" s="13" t="n"/>
      <c r="C22" s="13" t="n"/>
      <c r="K22" s="11" t="n"/>
      <c r="L22" s="11" t="n"/>
      <c r="M22" s="11" t="n"/>
    </row>
    <row r="23">
      <c r="B23" s="45" t="inlineStr">
        <is>
          <t>Notes for submission:</t>
        </is>
      </c>
    </row>
    <row r="24">
      <c r="B24" s="46" t="inlineStr">
        <is>
          <t>- Row 1 includes three 50 cm USB-C data+power cables, so the separate cable purchase is removed.</t>
        </is>
      </c>
    </row>
    <row r="25">
      <c r="B25" s="46" t="inlineStr">
        <is>
          <t>- Qty 3 across ESP32-S3, MPU6050, TP4056, 5V boost converter, and SPDT switch ensures 2 active nodes (1 Wrist + 1 Waist reference) + 1 complete spare chain.</t>
        </is>
      </c>
    </row>
    <row r="26">
      <c r="B26" s="46" t="inlineStr">
        <is>
          <t>- Row 9 (M-F/F-F jumpers) + Row 14 (2.54 mm female headers, solder/flux, foam/Kapton tape, waist belt) eliminate Day-1 bring-up &amp; assembly blockers.</t>
        </is>
      </c>
    </row>
    <row r="27">
      <c r="B27" s="46" t="inlineStr">
        <is>
          <t>- All 15 BOM lines are fully costed: Grand Total NPR 17,677 (or NPR 14,037 with per-gram KEC Makerspace TPU printing).</t>
        </is>
      </c>
    </row>
  </sheetData>
  <mergeCells count="8">
    <mergeCell ref="D20:E20"/>
    <mergeCell ref="A1:J2"/>
    <mergeCell ref="H21:I21"/>
    <mergeCell ref="H20:I20"/>
    <mergeCell ref="B3:F3"/>
    <mergeCell ref="L5:M5"/>
    <mergeCell ref="H3:J3"/>
    <mergeCell ref="D21:E21"/>
  </mergeCells>
  <pageMargins left="0.699999988079071" right="0.699999988079071" top="0.75" bottom="0.75" header="0.5118110179901123" footer="0.511811017990112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Aaradhya Dev Tamrakar</dc:creator>
  <dcterms:created xmlns:dcterms="http://purl.org/dc/terms/" xmlns:xsi="http://www.w3.org/2001/XMLSchema-instance" xsi:type="dcterms:W3CDTF">2026-10-30T08:00:56Z</dcterms:created>
  <dcterms:modified xmlns:dcterms="http://purl.org/dc/terms/" xmlns:xsi="http://www.w3.org/2001/XMLSchema-instance" xsi:type="dcterms:W3CDTF">2026-10-30T08:00:56Z</dcterms:modified>
  <cp:lastModifiedBy>Aaradhya Dev Tamrakar</cp:lastModifiedBy>
</cp:coreProperties>
</file>